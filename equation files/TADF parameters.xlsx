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han\Desktop\19kasımGIGAdesktop\BEKIRnew\dosyalar\github\"/>
    </mc:Choice>
  </mc:AlternateContent>
  <xr:revisionPtr revIDLastSave="0" documentId="13_ncr:1_{A8B38A6C-D7D6-4CFF-9D3C-D8692775270F}" xr6:coauthVersionLast="47" xr6:coauthVersionMax="47" xr10:uidLastSave="{00000000-0000-0000-0000-000000000000}"/>
  <bookViews>
    <workbookView xWindow="5820" yWindow="3870" windowWidth="26475" windowHeight="12285" xr2:uid="{A4FBEE11-EB3E-40C7-9E0D-7B2DA5E1D3C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1" l="1"/>
  <c r="H10" i="1"/>
  <c r="K10" i="1"/>
  <c r="L10" i="1"/>
  <c r="G7" i="1"/>
  <c r="H7" i="1"/>
  <c r="K7" i="1"/>
  <c r="L7" i="1"/>
  <c r="G8" i="1"/>
  <c r="H8" i="1"/>
  <c r="L8" i="1" s="1"/>
  <c r="K8" i="1"/>
  <c r="G9" i="1"/>
  <c r="K9" i="1" s="1"/>
  <c r="H9" i="1"/>
  <c r="H18" i="1"/>
  <c r="H14" i="1"/>
  <c r="H15" i="1"/>
  <c r="H16" i="1"/>
  <c r="H17" i="1"/>
  <c r="H13" i="1"/>
  <c r="G5" i="1"/>
  <c r="K5" i="1" s="1"/>
  <c r="G6" i="1"/>
  <c r="K6" i="1" s="1"/>
  <c r="H5" i="1"/>
  <c r="L5" i="1" s="1"/>
  <c r="H6" i="1"/>
  <c r="L6" i="1" s="1"/>
  <c r="I10" i="1" l="1"/>
  <c r="I7" i="1"/>
  <c r="I9" i="1"/>
  <c r="L9" i="1"/>
  <c r="I8" i="1"/>
  <c r="I6" i="1"/>
  <c r="I5" i="1"/>
</calcChain>
</file>

<file path=xl/sharedStrings.xml><?xml version="1.0" encoding="utf-8"?>
<sst xmlns="http://schemas.openxmlformats.org/spreadsheetml/2006/main" count="32" uniqueCount="24">
  <si>
    <t>E_S1</t>
  </si>
  <si>
    <t>E_T1</t>
  </si>
  <si>
    <t>E_S0</t>
  </si>
  <si>
    <t>S1-S0</t>
  </si>
  <si>
    <t>T1-S0</t>
  </si>
  <si>
    <t>S1-T1</t>
  </si>
  <si>
    <t>S1-S0 emis</t>
  </si>
  <si>
    <t>T1-S0 emis</t>
  </si>
  <si>
    <t>SOC (S1-T1)</t>
  </si>
  <si>
    <t>Marcus LAMDA</t>
  </si>
  <si>
    <t>S1_T1</t>
  </si>
  <si>
    <t>ecx</t>
  </si>
  <si>
    <t>S1_S1</t>
  </si>
  <si>
    <t>Complex</t>
  </si>
  <si>
    <t>exc.</t>
  </si>
  <si>
    <t>Comp.</t>
  </si>
  <si>
    <t>From E_S1_T1</t>
  </si>
  <si>
    <t>Ar_2c</t>
  </si>
  <si>
    <t>Me_1</t>
  </si>
  <si>
    <t>ArMeO_2a</t>
  </si>
  <si>
    <t>ArArMeO_2b</t>
  </si>
  <si>
    <t>ArF3C_2d</t>
  </si>
  <si>
    <t>ArPh2N_2e</t>
  </si>
  <si>
    <t>Organobor complexes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</si>
</sst>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9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00B05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2" fontId="0" fillId="3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5" fillId="0" borderId="0" xfId="0" applyFont="1"/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3" fillId="4" borderId="1" xfId="0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11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0" fontId="2" fillId="12" borderId="1" xfId="2" applyFont="1" applyFill="1" applyBorder="1" applyAlignment="1">
      <alignment horizontal="center"/>
    </xf>
    <xf numFmtId="1" fontId="2" fillId="12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Normal 2" xfId="2" xr:uid="{11A68736-B7E8-4F6C-AE73-8D3D7AC0AE2D}"/>
    <cellStyle name="Normal 3" xfId="1" xr:uid="{38212AC9-319E-460A-94CA-FB28ABEF8E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2234-9666-4B19-882A-A82148F58612}">
  <dimension ref="A2:L18"/>
  <sheetViews>
    <sheetView tabSelected="1" workbookViewId="0">
      <selection activeCell="D9" sqref="D9"/>
    </sheetView>
  </sheetViews>
  <sheetFormatPr defaultRowHeight="15" x14ac:dyDescent="0.25"/>
  <cols>
    <col min="1" max="1" width="16.7109375" customWidth="1"/>
    <col min="2" max="3" width="17.7109375" customWidth="1"/>
    <col min="4" max="4" width="11.7109375" customWidth="1"/>
    <col min="5" max="5" width="17.7109375" customWidth="1"/>
    <col min="6" max="9" width="11.7109375" customWidth="1"/>
    <col min="10" max="10" width="15.7109375" customWidth="1"/>
    <col min="11" max="12" width="12.7109375" customWidth="1"/>
  </cols>
  <sheetData>
    <row r="2" spans="1:12" x14ac:dyDescent="0.25">
      <c r="B2" s="31" t="s">
        <v>23</v>
      </c>
      <c r="C2" s="31"/>
    </row>
    <row r="3" spans="1:12" x14ac:dyDescent="0.25">
      <c r="J3" s="2" t="s">
        <v>16</v>
      </c>
    </row>
    <row r="4" spans="1:12" x14ac:dyDescent="0.25">
      <c r="A4" s="17" t="s">
        <v>13</v>
      </c>
      <c r="B4" s="11" t="s">
        <v>2</v>
      </c>
      <c r="C4" s="12" t="s">
        <v>0</v>
      </c>
      <c r="D4" s="12" t="s">
        <v>14</v>
      </c>
      <c r="E4" s="13" t="s">
        <v>1</v>
      </c>
      <c r="F4" s="13" t="s">
        <v>14</v>
      </c>
      <c r="G4" s="14" t="s">
        <v>3</v>
      </c>
      <c r="H4" s="14" t="s">
        <v>4</v>
      </c>
      <c r="I4" s="14" t="s">
        <v>5</v>
      </c>
      <c r="J4" s="16" t="s">
        <v>8</v>
      </c>
      <c r="K4" s="15" t="s">
        <v>6</v>
      </c>
      <c r="L4" s="15" t="s">
        <v>7</v>
      </c>
    </row>
    <row r="5" spans="1:12" s="3" customFormat="1" x14ac:dyDescent="0.25">
      <c r="A5" s="28" t="s">
        <v>17</v>
      </c>
      <c r="B5" s="5">
        <v>-358.88440000000003</v>
      </c>
      <c r="C5" s="8">
        <v>-358.2792</v>
      </c>
      <c r="D5" s="9">
        <v>1.65038</v>
      </c>
      <c r="E5" s="6">
        <v>-358.54</v>
      </c>
      <c r="F5" s="7">
        <v>1.8068900000000001</v>
      </c>
      <c r="G5" s="4">
        <f t="shared" ref="G5:G6" si="0">(C5+D5-B5)</f>
        <v>2.255580000000009</v>
      </c>
      <c r="H5" s="4">
        <f t="shared" ref="H5:H6" si="1">(E5+F5-B5)</f>
        <v>2.1512900000000172</v>
      </c>
      <c r="I5" s="4">
        <f t="shared" ref="I5:I6" si="2">(G5-H5)</f>
        <v>0.10428999999999178</v>
      </c>
      <c r="J5" s="26">
        <v>1.06</v>
      </c>
      <c r="K5" s="25">
        <f t="shared" ref="K5:K6" si="3">((4.1356675*10^-15)*2.99792458*10^17)/(G5)</f>
        <v>549.67765510232857</v>
      </c>
      <c r="L5" s="25">
        <f t="shared" ref="L5:L6" si="4">((4.1356675*10^-15)*2.99792458*10^17)/(H5)</f>
        <v>576.32486800743061</v>
      </c>
    </row>
    <row r="6" spans="1:12" s="3" customFormat="1" x14ac:dyDescent="0.25">
      <c r="A6" s="28" t="s">
        <v>20</v>
      </c>
      <c r="B6" s="5">
        <v>-433.68299999999999</v>
      </c>
      <c r="C6" s="8">
        <v>-433.10090000000002</v>
      </c>
      <c r="D6" s="9">
        <v>1.6841299999999999</v>
      </c>
      <c r="E6" s="6">
        <v>-433.42869999999999</v>
      </c>
      <c r="F6" s="7">
        <v>1.62026</v>
      </c>
      <c r="G6" s="4">
        <f t="shared" si="0"/>
        <v>2.2662299999999505</v>
      </c>
      <c r="H6" s="4">
        <f t="shared" si="1"/>
        <v>1.874559999999974</v>
      </c>
      <c r="I6" s="4">
        <f t="shared" si="2"/>
        <v>0.39166999999997643</v>
      </c>
      <c r="J6" s="26">
        <v>0.8</v>
      </c>
      <c r="K6" s="25">
        <f t="shared" si="3"/>
        <v>547.09448083192899</v>
      </c>
      <c r="L6" s="25">
        <f t="shared" si="4"/>
        <v>661.40423635185459</v>
      </c>
    </row>
    <row r="7" spans="1:12" s="3" customFormat="1" x14ac:dyDescent="0.25">
      <c r="A7" s="28" t="s">
        <v>21</v>
      </c>
      <c r="B7" s="5">
        <v>-381.28140000000002</v>
      </c>
      <c r="C7" s="8">
        <v>-380.67259999999999</v>
      </c>
      <c r="D7" s="9">
        <v>1.5020199999999999</v>
      </c>
      <c r="E7" s="6">
        <v>-380.70909999999998</v>
      </c>
      <c r="F7" s="7">
        <v>1.4075800000000001</v>
      </c>
      <c r="G7" s="4">
        <f t="shared" ref="G7:G9" si="5">(C7+D7-B7)</f>
        <v>2.1108200000000465</v>
      </c>
      <c r="H7" s="4">
        <f t="shared" ref="H7:H9" si="6">(E7+F7-B7)</f>
        <v>1.9798800000000369</v>
      </c>
      <c r="I7" s="4">
        <f t="shared" ref="I7:I9" si="7">(G7-H7)</f>
        <v>0.1309400000000096</v>
      </c>
      <c r="J7" s="26">
        <v>0.25</v>
      </c>
      <c r="K7" s="25">
        <f t="shared" ref="K7:K9" si="8">((4.1356675*10^-15)*2.99792458*10^17)/(G7)</f>
        <v>587.37453941865624</v>
      </c>
      <c r="L7" s="25">
        <f t="shared" ref="L7:L9" si="9">((4.1356675*10^-15)*2.99792458*10^17)/(H7)</f>
        <v>626.22074332570264</v>
      </c>
    </row>
    <row r="8" spans="1:12" s="3" customFormat="1" x14ac:dyDescent="0.25">
      <c r="A8" s="28" t="s">
        <v>19</v>
      </c>
      <c r="B8" s="5">
        <v>-385.36720000000003</v>
      </c>
      <c r="C8" s="8">
        <v>-384.76569999999998</v>
      </c>
      <c r="D8" s="9">
        <v>1.73214</v>
      </c>
      <c r="E8" s="6">
        <v>-385.06630000000001</v>
      </c>
      <c r="F8" s="7">
        <v>1.77502</v>
      </c>
      <c r="G8" s="4">
        <f t="shared" si="5"/>
        <v>2.3336400000000594</v>
      </c>
      <c r="H8" s="4">
        <f t="shared" si="6"/>
        <v>2.0759199999999964</v>
      </c>
      <c r="I8" s="4">
        <f t="shared" si="7"/>
        <v>0.25772000000006301</v>
      </c>
      <c r="J8" s="26">
        <v>0.98</v>
      </c>
      <c r="K8" s="25">
        <f t="shared" si="8"/>
        <v>531.2909983098009</v>
      </c>
      <c r="L8" s="25">
        <f t="shared" si="9"/>
        <v>597.24937632265085</v>
      </c>
    </row>
    <row r="9" spans="1:12" s="3" customFormat="1" x14ac:dyDescent="0.25">
      <c r="A9" s="28" t="s">
        <v>22</v>
      </c>
      <c r="B9" s="5">
        <v>-525.399</v>
      </c>
      <c r="C9" s="22">
        <v>-525.00239999999997</v>
      </c>
      <c r="D9" s="9">
        <v>1.7616499999999999</v>
      </c>
      <c r="E9" s="6">
        <v>-525.20609999999999</v>
      </c>
      <c r="F9" s="7">
        <v>1.6613</v>
      </c>
      <c r="G9" s="4">
        <f t="shared" si="5"/>
        <v>2.1582500000000664</v>
      </c>
      <c r="H9" s="4">
        <f t="shared" si="6"/>
        <v>1.8541999999999916</v>
      </c>
      <c r="I9" s="4">
        <f t="shared" si="7"/>
        <v>0.30405000000007476</v>
      </c>
      <c r="J9" s="26">
        <v>0.7</v>
      </c>
      <c r="K9" s="25">
        <f t="shared" si="8"/>
        <v>574.46631543874764</v>
      </c>
      <c r="L9" s="25">
        <f t="shared" si="9"/>
        <v>668.66677019508188</v>
      </c>
    </row>
    <row r="10" spans="1:12" x14ac:dyDescent="0.25">
      <c r="A10" s="29" t="s">
        <v>18</v>
      </c>
      <c r="B10" s="5">
        <v>-272.95999999999998</v>
      </c>
      <c r="C10" s="22">
        <v>-272.23149999999998</v>
      </c>
      <c r="D10" s="9">
        <v>1.8181400000000001</v>
      </c>
      <c r="E10" s="6">
        <v>-272.72370000000001</v>
      </c>
      <c r="F10" s="7">
        <v>2.30376</v>
      </c>
      <c r="G10" s="4">
        <f t="shared" ref="G10" si="10">(C10+D10-B10)</f>
        <v>2.5466400000000249</v>
      </c>
      <c r="H10" s="4">
        <f t="shared" ref="H10" si="11">(E10+F10-B10)</f>
        <v>2.5400599999999827</v>
      </c>
      <c r="I10" s="4">
        <f t="shared" ref="I10" si="12">(G10-H10)</f>
        <v>6.5800000000422187E-3</v>
      </c>
      <c r="J10" s="26">
        <v>0.94</v>
      </c>
      <c r="K10" s="25">
        <f t="shared" ref="K10" si="13">((4.1356675*10^-15)*2.99792458*10^17)/(G10)</f>
        <v>486.85402149330224</v>
      </c>
      <c r="L10" s="25">
        <f t="shared" ref="L10" si="14">((4.1356675*10^-15)*2.99792458*10^17)/(H10)</f>
        <v>488.11521196181343</v>
      </c>
    </row>
    <row r="11" spans="1:12" x14ac:dyDescent="0.25">
      <c r="A11" s="30"/>
      <c r="H11" s="10"/>
    </row>
    <row r="12" spans="1:12" x14ac:dyDescent="0.25">
      <c r="A12" s="1" t="s">
        <v>15</v>
      </c>
      <c r="C12" s="20" t="s">
        <v>10</v>
      </c>
      <c r="D12" s="20" t="s">
        <v>11</v>
      </c>
      <c r="E12" s="20" t="s">
        <v>12</v>
      </c>
      <c r="F12" s="20" t="s">
        <v>11</v>
      </c>
      <c r="H12" s="21" t="s">
        <v>9</v>
      </c>
    </row>
    <row r="13" spans="1:12" x14ac:dyDescent="0.25">
      <c r="A13" s="28" t="s">
        <v>17</v>
      </c>
      <c r="C13" s="23">
        <v>-358.54</v>
      </c>
      <c r="D13" s="19">
        <v>2.3039999999999998</v>
      </c>
      <c r="E13" s="24">
        <v>-358.2792</v>
      </c>
      <c r="F13" s="18">
        <v>1.65038</v>
      </c>
      <c r="H13" s="27">
        <f>((C13+D13)-(E13+F13))</f>
        <v>0.39281999999997197</v>
      </c>
    </row>
    <row r="14" spans="1:12" x14ac:dyDescent="0.25">
      <c r="A14" s="28" t="s">
        <v>20</v>
      </c>
      <c r="C14" s="19">
        <v>-433.42869999999999</v>
      </c>
      <c r="D14" s="19">
        <v>2.4412600000000002</v>
      </c>
      <c r="E14" s="18">
        <v>-433.10090000000002</v>
      </c>
      <c r="F14" s="18">
        <v>1.6841299999999999</v>
      </c>
      <c r="H14" s="27">
        <f t="shared" ref="H14:H18" si="15">((C14+D14)-(E14+F14))</f>
        <v>0.42933000000004995</v>
      </c>
    </row>
    <row r="15" spans="1:12" x14ac:dyDescent="0.25">
      <c r="A15" s="28" t="s">
        <v>21</v>
      </c>
      <c r="C15" s="19">
        <v>-380.70909999999998</v>
      </c>
      <c r="D15" s="19">
        <v>1.5666100000000001</v>
      </c>
      <c r="E15" s="18">
        <v>-380.67259999999999</v>
      </c>
      <c r="F15" s="18">
        <v>1.5020199999999999</v>
      </c>
      <c r="H15" s="27">
        <f t="shared" si="15"/>
        <v>2.8090000000020154E-2</v>
      </c>
    </row>
    <row r="16" spans="1:12" x14ac:dyDescent="0.25">
      <c r="A16" s="28" t="s">
        <v>19</v>
      </c>
      <c r="C16" s="19">
        <v>-385.06630000000001</v>
      </c>
      <c r="D16" s="19">
        <v>2.4721199999999999</v>
      </c>
      <c r="E16" s="18">
        <v>-384.76569999999998</v>
      </c>
      <c r="F16" s="18">
        <v>1.73214</v>
      </c>
      <c r="H16" s="27">
        <f t="shared" si="15"/>
        <v>0.43937999999997146</v>
      </c>
    </row>
    <row r="17" spans="1:8" x14ac:dyDescent="0.25">
      <c r="A17" s="28" t="s">
        <v>22</v>
      </c>
      <c r="C17" s="19">
        <v>-525.20609999999999</v>
      </c>
      <c r="D17" s="19">
        <v>2.4900199999999999</v>
      </c>
      <c r="E17" s="18">
        <v>-525.00239999999997</v>
      </c>
      <c r="F17" s="18">
        <v>1.7616499999999999</v>
      </c>
      <c r="H17" s="27">
        <f t="shared" si="15"/>
        <v>0.52466999999990094</v>
      </c>
    </row>
    <row r="18" spans="1:8" x14ac:dyDescent="0.25">
      <c r="A18" s="29" t="s">
        <v>18</v>
      </c>
      <c r="C18" s="19">
        <v>-272.72370000000001</v>
      </c>
      <c r="D18" s="19">
        <v>2.8673000000000002</v>
      </c>
      <c r="E18" s="18">
        <v>-272.23149999999998</v>
      </c>
      <c r="F18" s="18">
        <v>1.8181400000000001</v>
      </c>
      <c r="H18" s="27">
        <f t="shared" si="15"/>
        <v>0.55695999999994683</v>
      </c>
    </row>
  </sheetData>
  <mergeCells count="1">
    <mergeCell ref="B2:C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Ayhan</dc:creator>
  <cp:lastModifiedBy>ayhan</cp:lastModifiedBy>
  <dcterms:created xsi:type="dcterms:W3CDTF">2019-09-08T10:55:35Z</dcterms:created>
  <dcterms:modified xsi:type="dcterms:W3CDTF">2026-09-25T09:23:15Z</dcterms:modified>
</cp:coreProperties>
</file>