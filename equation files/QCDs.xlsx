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24226"/>
  <xr:revisionPtr revIDLastSave="0" documentId="13_ncr:1_{BEBAD06B-08C8-4489-83C1-B328198875F7}" xr6:coauthVersionLast="47" xr6:coauthVersionMax="47" xr10:uidLastSave="{00000000-0000-0000-0000-000000000000}"/>
  <bookViews>
    <workbookView xWindow="24045" yWindow="2535" windowWidth="26475" windowHeight="12285" xr2:uid="{00000000-000D-0000-FFFF-FFFF00000000}"/>
  </bookViews>
  <sheets>
    <sheet name="gaz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12" l="1"/>
  <c r="F9" i="12" s="1"/>
  <c r="E9" i="12"/>
  <c r="G9" i="12" s="1"/>
  <c r="K9" i="12" l="1"/>
  <c r="L9" i="12" s="1"/>
  <c r="H9" i="12"/>
  <c r="I9" i="12"/>
  <c r="J9" i="12" s="1"/>
  <c r="D6" i="12"/>
  <c r="F6" i="12" s="1"/>
  <c r="E6" i="12"/>
  <c r="G6" i="12" s="1"/>
  <c r="D7" i="12"/>
  <c r="F7" i="12" s="1"/>
  <c r="E7" i="12"/>
  <c r="G7" i="12" s="1"/>
  <c r="D8" i="12"/>
  <c r="F8" i="12" s="1"/>
  <c r="E8" i="12"/>
  <c r="G8" i="12" s="1"/>
  <c r="M9" i="12" l="1"/>
  <c r="N9" i="12" s="1"/>
  <c r="H7" i="12"/>
  <c r="K7" i="12"/>
  <c r="L7" i="12" s="1"/>
  <c r="H8" i="12"/>
  <c r="I6" i="12"/>
  <c r="J6" i="12" s="1"/>
  <c r="I8" i="12"/>
  <c r="J8" i="12" s="1"/>
  <c r="K8" i="12"/>
  <c r="L8" i="12" s="1"/>
  <c r="I7" i="12"/>
  <c r="J7" i="12" s="1"/>
  <c r="K6" i="12"/>
  <c r="L6" i="12" s="1"/>
  <c r="H6" i="12"/>
  <c r="D5" i="12"/>
  <c r="F5" i="12" s="1"/>
  <c r="E5" i="12"/>
  <c r="G5" i="12" s="1"/>
  <c r="M8" i="12" l="1"/>
  <c r="N8" i="12" s="1"/>
  <c r="M6" i="12"/>
  <c r="N6" i="12" s="1"/>
  <c r="M7" i="12"/>
  <c r="N7" i="12" s="1"/>
  <c r="I5" i="12"/>
  <c r="J5" i="12" s="1"/>
  <c r="K5" i="12"/>
  <c r="L5" i="12" s="1"/>
  <c r="H5" i="12"/>
  <c r="E4" i="12"/>
  <c r="G4" i="12" s="1"/>
  <c r="D4" i="12"/>
  <c r="M5" i="12" l="1"/>
  <c r="N5" i="12" s="1"/>
  <c r="H4" i="12"/>
  <c r="F4" i="12"/>
  <c r="K4" i="12" l="1"/>
  <c r="L4" i="12" s="1"/>
  <c r="I4" i="12"/>
  <c r="J4" i="12" s="1"/>
  <c r="M4" i="12" l="1"/>
  <c r="N4" i="12" s="1"/>
</calcChain>
</file>

<file path=xl/sharedStrings.xml><?xml version="1.0" encoding="utf-8"?>
<sst xmlns="http://schemas.openxmlformats.org/spreadsheetml/2006/main" count="21" uniqueCount="21">
  <si>
    <t>Bileşikler</t>
  </si>
  <si>
    <t>η=(I-A)/2</t>
  </si>
  <si>
    <t>σ=1/η</t>
  </si>
  <si>
    <t>χ=(I+A)/2</t>
  </si>
  <si>
    <t>EHOMO</t>
  </si>
  <si>
    <t>ELUMO</t>
  </si>
  <si>
    <t>EHOMO(eV)</t>
  </si>
  <si>
    <t>ELUMO(eV)</t>
  </si>
  <si>
    <t>I=-EHOMO</t>
  </si>
  <si>
    <t>A=-ELUMO</t>
  </si>
  <si>
    <t>ΔE=LUMO-HOMO</t>
  </si>
  <si>
    <t>Pİ=µ=-χ=(HOMO+LUMO)/2</t>
  </si>
  <si>
    <r>
      <t>ω=</t>
    </r>
    <r>
      <rPr>
        <sz val="11"/>
        <color theme="1"/>
        <rFont val="Arial Tur"/>
        <charset val="162"/>
      </rPr>
      <t>µ</t>
    </r>
    <r>
      <rPr>
        <vertAlign val="superscript"/>
        <sz val="12.1"/>
        <color theme="1"/>
        <rFont val="Calibri"/>
        <family val="2"/>
        <charset val="162"/>
      </rPr>
      <t>2</t>
    </r>
    <r>
      <rPr>
        <sz val="12.1"/>
        <color theme="1"/>
        <rFont val="Calibri"/>
        <family val="2"/>
      </rPr>
      <t>/2</t>
    </r>
    <r>
      <rPr>
        <sz val="12.1"/>
        <color theme="1"/>
        <rFont val="Times New Roman"/>
        <family val="1"/>
        <charset val="162"/>
      </rPr>
      <t>η</t>
    </r>
  </si>
  <si>
    <t>ε=1/ω</t>
  </si>
  <si>
    <t>Me_1</t>
  </si>
  <si>
    <t>ArMeO_2a</t>
  </si>
  <si>
    <t>ArArMeO_2b</t>
  </si>
  <si>
    <t>Ar_2c</t>
  </si>
  <si>
    <t>ArF3C_2d</t>
  </si>
  <si>
    <t>ArPh2N_2e</t>
  </si>
  <si>
    <t>B3LYP/6-31G(d) level (Gaussian 16)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</si>
</sst>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Arial Tur"/>
      <charset val="162"/>
    </font>
    <font>
      <sz val="12.1"/>
      <color theme="1"/>
      <name val="Calibri"/>
      <family val="2"/>
    </font>
    <font>
      <sz val="12.1"/>
      <color theme="1"/>
      <name val="Times New Roman"/>
      <family val="1"/>
      <charset val="162"/>
    </font>
    <font>
      <vertAlign val="superscript"/>
      <sz val="12.1"/>
      <color theme="1"/>
      <name val="Calibri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2" borderId="0" applyNumberFormat="0" applyBorder="0" applyAlignment="0" applyProtection="0"/>
    <xf numFmtId="0" fontId="1" fillId="0" borderId="0"/>
  </cellStyleXfs>
  <cellXfs count="10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3" borderId="1" xfId="2" applyFont="1" applyFill="1" applyBorder="1" applyAlignment="1">
      <alignment horizontal="center"/>
    </xf>
    <xf numFmtId="2" fontId="6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4" fontId="7" fillId="0" borderId="0" xfId="0" applyNumberFormat="1" applyFont="1" applyAlignment="1">
      <alignment horizontal="center"/>
    </xf>
    <xf numFmtId="1" fontId="8" fillId="2" borderId="0" xfId="1" applyNumberFormat="1" applyAlignment="1">
      <alignment horizontal="left"/>
    </xf>
  </cellXfs>
  <cellStyles count="3">
    <cellStyle name="İyi" xfId="1" builtinId="26"/>
    <cellStyle name="Normal" xfId="0" builtinId="0"/>
    <cellStyle name="Normal 2" xfId="2" xr:uid="{0E293C09-A558-4FF5-8F94-E32362E47DC2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"/>
  <sheetViews>
    <sheetView tabSelected="1" zoomScaleNormal="100" workbookViewId="0">
      <selection activeCell="D14" sqref="D14"/>
    </sheetView>
  </sheetViews>
  <sheetFormatPr defaultRowHeight="15" x14ac:dyDescent="0.25"/>
  <cols>
    <col min="1" max="1" width="13.7109375" style="2" customWidth="1"/>
    <col min="2" max="2" width="9.7109375" style="1" customWidth="1"/>
    <col min="3" max="3" width="9.85546875" style="1" customWidth="1"/>
    <col min="4" max="4" width="12" style="1" customWidth="1"/>
    <col min="5" max="5" width="11.5703125" style="1" customWidth="1"/>
    <col min="6" max="6" width="12.28515625" style="1" customWidth="1"/>
    <col min="7" max="7" width="11.28515625" style="1" customWidth="1"/>
    <col min="8" max="8" width="15.42578125" style="1" customWidth="1"/>
    <col min="9" max="9" width="14.140625" style="1" customWidth="1"/>
    <col min="10" max="10" width="12" style="1" customWidth="1"/>
    <col min="11" max="11" width="12.5703125" style="1" customWidth="1"/>
    <col min="12" max="12" width="26.85546875" style="1" customWidth="1"/>
    <col min="13" max="13" width="14" style="1" customWidth="1"/>
    <col min="14" max="14" width="11.7109375" style="1" customWidth="1"/>
    <col min="15" max="15" width="17.140625" style="1" customWidth="1"/>
    <col min="16" max="16384" width="9.140625" style="1"/>
  </cols>
  <sheetData>
    <row r="1" spans="1:15" ht="18.75" x14ac:dyDescent="0.3"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</row>
    <row r="2" spans="1:15" x14ac:dyDescent="0.25">
      <c r="A2" s="9" t="s">
        <v>20</v>
      </c>
      <c r="B2" s="9"/>
      <c r="C2" s="9"/>
      <c r="D2" s="9"/>
    </row>
    <row r="3" spans="1:15" ht="18" x14ac:dyDescent="0.25">
      <c r="A3" s="2" t="s">
        <v>0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  <c r="G3" s="3" t="s">
        <v>9</v>
      </c>
      <c r="H3" s="3" t="s">
        <v>10</v>
      </c>
      <c r="I3" s="3" t="s">
        <v>1</v>
      </c>
      <c r="J3" s="3" t="s">
        <v>2</v>
      </c>
      <c r="K3" s="3" t="s">
        <v>3</v>
      </c>
      <c r="L3" s="3" t="s">
        <v>11</v>
      </c>
      <c r="M3" s="3" t="s">
        <v>12</v>
      </c>
      <c r="N3" s="3" t="s">
        <v>13</v>
      </c>
      <c r="O3" s="3"/>
    </row>
    <row r="4" spans="1:15" ht="15" customHeight="1" x14ac:dyDescent="0.25">
      <c r="A4" s="4" t="s">
        <v>14</v>
      </c>
      <c r="B4" s="7">
        <v>-0.23319999999999999</v>
      </c>
      <c r="C4" s="7">
        <v>-9.5399999999999999E-2</v>
      </c>
      <c r="D4" s="6">
        <f t="shared" ref="D4:E4" si="0">(27.2116*B4)</f>
        <v>-6.3457451200000001</v>
      </c>
      <c r="E4" s="6">
        <f t="shared" si="0"/>
        <v>-2.59598664</v>
      </c>
      <c r="F4" s="3">
        <f t="shared" ref="F4:G4" si="1">(-1*D4)</f>
        <v>6.3457451200000001</v>
      </c>
      <c r="G4" s="3">
        <f t="shared" si="1"/>
        <v>2.59598664</v>
      </c>
      <c r="H4" s="3">
        <f t="shared" ref="H4" si="2">(E4-D4)</f>
        <v>3.7497584800000001</v>
      </c>
      <c r="I4" s="3">
        <f t="shared" ref="I4" si="3">((F4-G4)/2)</f>
        <v>1.8748792400000001</v>
      </c>
      <c r="J4" s="3">
        <f t="shared" ref="J4" si="4">(1/I4)</f>
        <v>0.53336768505687859</v>
      </c>
      <c r="K4" s="3">
        <f t="shared" ref="K4" si="5">((F4+G4)/2)</f>
        <v>4.4708658799999998</v>
      </c>
      <c r="L4" s="3">
        <f t="shared" ref="L4" si="6">(-K4)</f>
        <v>-4.4708658799999998</v>
      </c>
      <c r="M4" s="3">
        <f t="shared" ref="M4" si="7">((L4*L4)/(2*I4))</f>
        <v>5.3306477799999996</v>
      </c>
      <c r="N4" s="3">
        <f t="shared" ref="N4" si="8">1/M4</f>
        <v>0.18759446154966181</v>
      </c>
      <c r="O4" s="3"/>
    </row>
    <row r="5" spans="1:15" ht="15" customHeight="1" x14ac:dyDescent="0.25">
      <c r="A5" s="5" t="s">
        <v>15</v>
      </c>
      <c r="B5" s="7">
        <v>-0.2276</v>
      </c>
      <c r="C5" s="7">
        <v>-0.10539999999999999</v>
      </c>
      <c r="D5" s="6">
        <f>(27.2116*B5)</f>
        <v>-6.1933601600000001</v>
      </c>
      <c r="E5" s="6">
        <f>(27.2116*C5)</f>
        <v>-2.86810264</v>
      </c>
      <c r="F5" s="3">
        <f t="shared" ref="F5" si="9">(-1*D5)</f>
        <v>6.1933601600000001</v>
      </c>
      <c r="G5" s="3">
        <f t="shared" ref="G5" si="10">(-1*E5)</f>
        <v>2.86810264</v>
      </c>
      <c r="H5" s="3">
        <f t="shared" ref="H5" si="11">(E5-D5)</f>
        <v>3.3252575200000001</v>
      </c>
      <c r="I5" s="3">
        <f t="shared" ref="I5" si="12">((F5-G5)/2)</f>
        <v>1.66262876</v>
      </c>
      <c r="J5" s="3">
        <f t="shared" ref="J5" si="13">(1/I5)</f>
        <v>0.60145717676626742</v>
      </c>
      <c r="K5" s="3">
        <f t="shared" ref="K5" si="14">((F5+G5)/2)</f>
        <v>4.5307314000000005</v>
      </c>
      <c r="L5" s="3">
        <f t="shared" ref="L5" si="15">(-K5)</f>
        <v>-4.5307314000000005</v>
      </c>
      <c r="M5" s="3">
        <f t="shared" ref="M5" si="16">((L5*L5)/(2*I5))</f>
        <v>6.1732142234042566</v>
      </c>
      <c r="N5" s="3">
        <f t="shared" ref="N5" si="17">1/M5</f>
        <v>0.16199016651791226</v>
      </c>
      <c r="O5" s="3"/>
    </row>
    <row r="6" spans="1:15" ht="15" customHeight="1" x14ac:dyDescent="0.25">
      <c r="A6" s="5" t="s">
        <v>16</v>
      </c>
      <c r="B6" s="7">
        <v>-0.224</v>
      </c>
      <c r="C6" s="7">
        <v>-0.109</v>
      </c>
      <c r="D6" s="6">
        <f t="shared" ref="D6:D8" si="18">(27.2116*B6)</f>
        <v>-6.0953984000000005</v>
      </c>
      <c r="E6" s="6">
        <f t="shared" ref="E6:E8" si="19">(27.2116*C6)</f>
        <v>-2.9660644</v>
      </c>
      <c r="F6" s="3">
        <f t="shared" ref="F6:F8" si="20">(-1*D6)</f>
        <v>6.0953984000000005</v>
      </c>
      <c r="G6" s="3">
        <f t="shared" ref="G6:G8" si="21">(-1*E6)</f>
        <v>2.9660644</v>
      </c>
      <c r="H6" s="3">
        <f t="shared" ref="H6:H8" si="22">(E6-D6)</f>
        <v>3.1293340000000005</v>
      </c>
      <c r="I6" s="3">
        <f t="shared" ref="I6:I8" si="23">((F6-G6)/2)</f>
        <v>1.5646670000000003</v>
      </c>
      <c r="J6" s="3">
        <f t="shared" ref="J6:J8" si="24">(1/I6)</f>
        <v>0.63911362609424227</v>
      </c>
      <c r="K6" s="3">
        <f t="shared" ref="K6:K8" si="25">((F6+G6)/2)</f>
        <v>4.5307314000000005</v>
      </c>
      <c r="L6" s="3">
        <f t="shared" ref="L6:L8" si="26">(-K6)</f>
        <v>-4.5307314000000005</v>
      </c>
      <c r="M6" s="3">
        <f t="shared" ref="M6:M8" si="27">((L6*L6)/(2*I6))</f>
        <v>6.5597111139130435</v>
      </c>
      <c r="N6" s="3">
        <f t="shared" ref="N6:N8" si="28">1/M6</f>
        <v>0.15244573772143957</v>
      </c>
      <c r="O6" s="3"/>
    </row>
    <row r="7" spans="1:15" ht="15" customHeight="1" x14ac:dyDescent="0.25">
      <c r="A7" s="5" t="s">
        <v>17</v>
      </c>
      <c r="B7" s="7">
        <v>-0.23069999999999999</v>
      </c>
      <c r="C7" s="7">
        <v>-0.11070000000000001</v>
      </c>
      <c r="D7" s="6">
        <f t="shared" si="18"/>
        <v>-6.27771612</v>
      </c>
      <c r="E7" s="6">
        <f t="shared" si="19"/>
        <v>-3.0123241200000002</v>
      </c>
      <c r="F7" s="3">
        <f t="shared" si="20"/>
        <v>6.27771612</v>
      </c>
      <c r="G7" s="3">
        <f t="shared" si="21"/>
        <v>3.0123241200000002</v>
      </c>
      <c r="H7" s="3">
        <f t="shared" si="22"/>
        <v>3.2653919999999999</v>
      </c>
      <c r="I7" s="3">
        <f t="shared" si="23"/>
        <v>1.6326959999999999</v>
      </c>
      <c r="J7" s="3">
        <f t="shared" si="24"/>
        <v>0.61248389167364903</v>
      </c>
      <c r="K7" s="3">
        <f t="shared" si="25"/>
        <v>4.6450201199999999</v>
      </c>
      <c r="L7" s="3">
        <f t="shared" si="26"/>
        <v>-4.6450201199999999</v>
      </c>
      <c r="M7" s="3">
        <f t="shared" si="27"/>
        <v>6.6075411206999997</v>
      </c>
      <c r="N7" s="3">
        <f t="shared" si="28"/>
        <v>0.15134222878571515</v>
      </c>
      <c r="O7" s="3"/>
    </row>
    <row r="8" spans="1:15" x14ac:dyDescent="0.25">
      <c r="A8" s="5" t="s">
        <v>18</v>
      </c>
      <c r="B8" s="7">
        <v>-0.2361</v>
      </c>
      <c r="C8" s="7">
        <v>-0.1215</v>
      </c>
      <c r="D8" s="6">
        <f t="shared" si="18"/>
        <v>-6.4246587600000007</v>
      </c>
      <c r="E8" s="6">
        <f t="shared" si="19"/>
        <v>-3.3062094000000002</v>
      </c>
      <c r="F8" s="3">
        <f t="shared" si="20"/>
        <v>6.4246587600000007</v>
      </c>
      <c r="G8" s="3">
        <f t="shared" si="21"/>
        <v>3.3062094000000002</v>
      </c>
      <c r="H8" s="3">
        <f t="shared" si="22"/>
        <v>3.1184493600000005</v>
      </c>
      <c r="I8" s="3">
        <f t="shared" si="23"/>
        <v>1.5592246800000003</v>
      </c>
      <c r="J8" s="3">
        <f t="shared" si="24"/>
        <v>0.64134438918706693</v>
      </c>
      <c r="K8" s="3">
        <f t="shared" si="25"/>
        <v>4.86543408</v>
      </c>
      <c r="L8" s="3">
        <f t="shared" si="26"/>
        <v>-4.86543408</v>
      </c>
      <c r="M8" s="3">
        <f t="shared" si="27"/>
        <v>7.5910961038743441</v>
      </c>
      <c r="N8" s="3">
        <f t="shared" si="28"/>
        <v>0.13173328150721475</v>
      </c>
    </row>
    <row r="9" spans="1:15" x14ac:dyDescent="0.25">
      <c r="A9" s="5" t="s">
        <v>19</v>
      </c>
      <c r="B9" s="7">
        <v>-0.21129999999999999</v>
      </c>
      <c r="C9" s="7">
        <v>-0.1047</v>
      </c>
      <c r="D9" s="6">
        <f t="shared" ref="D9" si="29">(27.2116*B9)</f>
        <v>-5.7498110799999997</v>
      </c>
      <c r="E9" s="6">
        <f t="shared" ref="E9" si="30">(27.2116*C9)</f>
        <v>-2.8490545200000001</v>
      </c>
      <c r="F9" s="3">
        <f t="shared" ref="F9" si="31">(-1*D9)</f>
        <v>5.7498110799999997</v>
      </c>
      <c r="G9" s="3">
        <f t="shared" ref="G9" si="32">(-1*E9)</f>
        <v>2.8490545200000001</v>
      </c>
      <c r="H9" s="3">
        <f t="shared" ref="H9" si="33">(E9-D9)</f>
        <v>2.9007565599999996</v>
      </c>
      <c r="I9" s="3">
        <f t="shared" ref="I9" si="34">((F9-G9)/2)</f>
        <v>1.4503782799999998</v>
      </c>
      <c r="J9" s="3">
        <f t="shared" ref="J9" si="35">(1/I9)</f>
        <v>0.68947530019547743</v>
      </c>
      <c r="K9" s="3">
        <f t="shared" ref="K9" si="36">((F9+G9)/2)</f>
        <v>4.2994327999999999</v>
      </c>
      <c r="L9" s="3">
        <f t="shared" ref="L9" si="37">(-K9)</f>
        <v>-4.2994327999999999</v>
      </c>
      <c r="M9" s="3">
        <f t="shared" ref="M9" si="38">((L9*L9)/(2*I9))</f>
        <v>6.3725176585365855</v>
      </c>
      <c r="N9" s="3">
        <f t="shared" ref="N9" si="39">1/M9</f>
        <v>0.15692384918861796</v>
      </c>
    </row>
  </sheetData>
  <mergeCells count="2">
    <mergeCell ref="B1:M1"/>
    <mergeCell ref="A2:D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gaz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2026-09-25T09:17:28Z</dcterms:modified>
</cp:coreProperties>
</file>