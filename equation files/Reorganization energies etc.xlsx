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han\Desktop\19kasımGIGAdesktop\BEKIRnew\dosyalar\github\"/>
    </mc:Choice>
  </mc:AlternateContent>
  <xr:revisionPtr revIDLastSave="0" documentId="13_ncr:1_{157B0948-50D0-4F79-8984-A2B03394BE42}" xr6:coauthVersionLast="47" xr6:coauthVersionMax="47" xr10:uidLastSave="{00000000-0000-0000-0000-000000000000}"/>
  <bookViews>
    <workbookView xWindow="23700" yWindow="2190" windowWidth="26475" windowHeight="1228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S5" i="1"/>
  <c r="R6" i="1"/>
  <c r="S6" i="1"/>
  <c r="R7" i="1"/>
  <c r="S7" i="1"/>
  <c r="R8" i="1"/>
  <c r="S8" i="1"/>
  <c r="R9" i="1"/>
  <c r="S9" i="1"/>
  <c r="O5" i="1"/>
  <c r="P5" i="1"/>
  <c r="O6" i="1"/>
  <c r="P6" i="1"/>
  <c r="O7" i="1"/>
  <c r="P7" i="1"/>
  <c r="O8" i="1"/>
  <c r="P8" i="1"/>
  <c r="O9" i="1"/>
  <c r="P9" i="1"/>
  <c r="L5" i="1"/>
  <c r="M5" i="1"/>
  <c r="L6" i="1"/>
  <c r="M6" i="1"/>
  <c r="L7" i="1"/>
  <c r="M7" i="1"/>
  <c r="L8" i="1"/>
  <c r="M8" i="1"/>
  <c r="L9" i="1"/>
  <c r="M9" i="1"/>
  <c r="L4" i="1" l="1"/>
  <c r="O4" i="1"/>
  <c r="S4" i="1" l="1"/>
  <c r="R4" i="1"/>
  <c r="P4" i="1"/>
  <c r="M4" i="1" l="1"/>
</calcChain>
</file>

<file path=xl/sharedStrings.xml><?xml version="1.0" encoding="utf-8"?>
<sst xmlns="http://schemas.openxmlformats.org/spreadsheetml/2006/main" count="25" uniqueCount="24">
  <si>
    <t>E0-</t>
  </si>
  <si>
    <t>E0+</t>
  </si>
  <si>
    <t>E-0</t>
  </si>
  <si>
    <t>E--</t>
  </si>
  <si>
    <t>E+0</t>
  </si>
  <si>
    <t>E++</t>
  </si>
  <si>
    <t xml:space="preserve">E00 </t>
  </si>
  <si>
    <t>IPa</t>
  </si>
  <si>
    <t>IPv</t>
  </si>
  <si>
    <t>EAa</t>
  </si>
  <si>
    <t>EAv</t>
  </si>
  <si>
    <t>Compound</t>
  </si>
  <si>
    <t>4A</t>
  </si>
  <si>
    <t>4B</t>
  </si>
  <si>
    <t>4C</t>
  </si>
  <si>
    <t>4D</t>
  </si>
  <si>
    <t>4E</t>
  </si>
  <si>
    <t>Elec. Reor</t>
  </si>
  <si>
    <t>Hole reor.</t>
  </si>
  <si>
    <t>2a</t>
  </si>
  <si>
    <t>2b</t>
  </si>
  <si>
    <t>2c</t>
  </si>
  <si>
    <t>2d</t>
  </si>
  <si>
    <t>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</si>
</sst>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1"/>
      <color rgb="FFFF0000"/>
      <name val="Calibri"/>
      <family val="2"/>
      <charset val="162"/>
      <scheme val="minor"/>
    </font>
    <font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9"/>
  <sheetViews>
    <sheetView tabSelected="1" workbookViewId="0">
      <selection activeCell="C12" sqref="C12"/>
    </sheetView>
  </sheetViews>
  <sheetFormatPr defaultColWidth="5.85546875" defaultRowHeight="15" x14ac:dyDescent="0.25"/>
  <cols>
    <col min="1" max="1" width="5.85546875" style="2"/>
    <col min="2" max="2" width="15.7109375" style="2" customWidth="1"/>
    <col min="3" max="3" width="15.7109375" style="8" customWidth="1"/>
    <col min="4" max="9" width="15.7109375" style="2" customWidth="1"/>
    <col min="10" max="10" width="2.7109375" style="2" customWidth="1"/>
    <col min="11" max="13" width="10.7109375" style="2" customWidth="1"/>
    <col min="14" max="14" width="2.7109375" style="2" customWidth="1"/>
    <col min="15" max="16" width="10.7109375" style="2" customWidth="1"/>
    <col min="17" max="17" width="2.7109375" style="2" customWidth="1"/>
    <col min="18" max="19" width="10.7109375" style="2" customWidth="1"/>
    <col min="20" max="16384" width="5.85546875" style="2"/>
  </cols>
  <sheetData>
    <row r="3" spans="1:19" ht="24.95" customHeight="1" x14ac:dyDescent="0.25">
      <c r="B3" s="3" t="s">
        <v>11</v>
      </c>
      <c r="C3" s="4" t="s">
        <v>6</v>
      </c>
      <c r="D3" s="3" t="s">
        <v>0</v>
      </c>
      <c r="E3" s="3" t="s">
        <v>1</v>
      </c>
      <c r="F3" s="3" t="s">
        <v>3</v>
      </c>
      <c r="G3" s="3" t="s">
        <v>2</v>
      </c>
      <c r="H3" s="3" t="s">
        <v>5</v>
      </c>
      <c r="I3" s="3" t="s">
        <v>4</v>
      </c>
      <c r="K3" s="3" t="s">
        <v>11</v>
      </c>
      <c r="L3" s="3" t="s">
        <v>17</v>
      </c>
      <c r="M3" s="3" t="s">
        <v>18</v>
      </c>
      <c r="O3" s="5" t="s">
        <v>7</v>
      </c>
      <c r="P3" s="5" t="s">
        <v>8</v>
      </c>
      <c r="Q3" s="6"/>
      <c r="R3" s="5" t="s">
        <v>9</v>
      </c>
      <c r="S3" s="5" t="s">
        <v>10</v>
      </c>
    </row>
    <row r="4" spans="1:19" ht="20.25" customHeight="1" x14ac:dyDescent="0.25">
      <c r="A4" s="2">
        <v>1</v>
      </c>
      <c r="B4" s="1">
        <v>1</v>
      </c>
      <c r="C4" s="7">
        <v>-1039.8969380000001</v>
      </c>
      <c r="D4" s="7">
        <v>-1039.921339</v>
      </c>
      <c r="E4" s="7">
        <v>-1039.625464</v>
      </c>
      <c r="F4" s="7">
        <v>-1039.9290639999999</v>
      </c>
      <c r="G4" s="7">
        <v>-1039.8893439999999</v>
      </c>
      <c r="H4" s="7">
        <v>-1039.6287380000001</v>
      </c>
      <c r="I4" s="7">
        <v>-1039.8934159999999</v>
      </c>
      <c r="K4" s="1">
        <v>3</v>
      </c>
      <c r="L4" s="12">
        <f t="shared" ref="L4" si="0">((D4-F4)+(G4-C4))*27.2114</f>
        <v>0.41685143660246143</v>
      </c>
      <c r="M4" s="12">
        <f>((E4-H4)+(I4-C4))*27.2114</f>
        <v>0.184928674409511</v>
      </c>
      <c r="N4" s="14"/>
      <c r="O4" s="12">
        <f>(H4-C4)*27.2114</f>
        <v>7.2980974799994263</v>
      </c>
      <c r="P4" s="12">
        <f>(E4-C4)*27.2114</f>
        <v>7.3871876036034196</v>
      </c>
      <c r="Q4" s="14"/>
      <c r="R4" s="12">
        <f>(C4-F4)*27.2114</f>
        <v>0.87419343639550129</v>
      </c>
      <c r="S4" s="12">
        <f>(C4-D4)*27.2114</f>
        <v>0.6639853713972238</v>
      </c>
    </row>
    <row r="5" spans="1:19" ht="15.75" x14ac:dyDescent="0.25">
      <c r="A5" s="2">
        <v>7</v>
      </c>
      <c r="B5" s="9" t="s">
        <v>19</v>
      </c>
      <c r="C5" s="10">
        <v>-1423.56385</v>
      </c>
      <c r="D5" s="10">
        <v>-1423.6075949999999</v>
      </c>
      <c r="E5" s="10">
        <v>-1423.308235</v>
      </c>
      <c r="F5" s="10">
        <v>-1423.614268</v>
      </c>
      <c r="G5" s="10">
        <v>-1423.556932</v>
      </c>
      <c r="H5" s="10">
        <v>-1423.3110369999999</v>
      </c>
      <c r="I5" s="10">
        <v>-1423.5609979999999</v>
      </c>
      <c r="J5" s="11"/>
      <c r="K5" s="9" t="s">
        <v>12</v>
      </c>
      <c r="L5" s="12">
        <f t="shared" ref="L5:L9" si="1">((D5-F5)+(G5-C5))*27.2114</f>
        <v>0.36983013740362281</v>
      </c>
      <c r="M5" s="12">
        <f t="shared" ref="M5:M9" si="2">((E5-H5)+(I5-C5))*27.2114</f>
        <v>0.15385325560134872</v>
      </c>
      <c r="N5" s="14"/>
      <c r="O5" s="12">
        <f t="shared" ref="O5:O9" si="3">(H5-C5)*27.2114</f>
        <v>6.8793956682016368</v>
      </c>
      <c r="P5" s="12">
        <f t="shared" ref="P5:P9" si="4">(E5-C5)*27.2114</f>
        <v>6.9556420110009345</v>
      </c>
      <c r="Q5" s="14"/>
      <c r="R5" s="12">
        <f t="shared" ref="R5:R9" si="5">(C5-F5)*27.2114</f>
        <v>1.3719443652009808</v>
      </c>
      <c r="S5" s="12">
        <f t="shared" ref="S5:S9" si="6">(C5-D5)*27.2114</f>
        <v>1.1903626929984874</v>
      </c>
    </row>
    <row r="6" spans="1:19" ht="15.75" x14ac:dyDescent="0.25">
      <c r="A6" s="2">
        <v>8</v>
      </c>
      <c r="B6" s="9" t="s">
        <v>20</v>
      </c>
      <c r="C6" s="10">
        <v>-1577.2078959999999</v>
      </c>
      <c r="D6" s="13">
        <v>-1577.2569920000001</v>
      </c>
      <c r="E6" s="13">
        <v>-1576.9571089999999</v>
      </c>
      <c r="F6" s="13">
        <v>-1577.263463</v>
      </c>
      <c r="G6" s="13">
        <v>-1577.201235</v>
      </c>
      <c r="H6" s="13">
        <v>-1576.9595449999999</v>
      </c>
      <c r="I6" s="13">
        <v>-1577.2054000000001</v>
      </c>
      <c r="J6" s="11"/>
      <c r="K6" s="9" t="s">
        <v>13</v>
      </c>
      <c r="L6" s="12">
        <f t="shared" si="1"/>
        <v>0.35734010479494061</v>
      </c>
      <c r="M6" s="12">
        <f t="shared" si="2"/>
        <v>0.13420662479526727</v>
      </c>
      <c r="N6" s="14"/>
      <c r="O6" s="12">
        <f t="shared" si="3"/>
        <v>6.7579784013988276</v>
      </c>
      <c r="P6" s="12">
        <f t="shared" si="4"/>
        <v>6.8242653717985222</v>
      </c>
      <c r="Q6" s="14"/>
      <c r="R6" s="12">
        <f t="shared" si="5"/>
        <v>1.5120558638029948</v>
      </c>
      <c r="S6" s="12">
        <f t="shared" si="6"/>
        <v>1.3359708944051849</v>
      </c>
    </row>
    <row r="7" spans="1:19" ht="15.75" x14ac:dyDescent="0.25">
      <c r="A7" s="2">
        <v>9</v>
      </c>
      <c r="B7" s="9" t="s">
        <v>21</v>
      </c>
      <c r="C7" s="10">
        <v>-1309.0394349999999</v>
      </c>
      <c r="D7" s="13">
        <v>-1309.0872340000001</v>
      </c>
      <c r="E7" s="13">
        <v>-1308.7766369999999</v>
      </c>
      <c r="F7" s="13">
        <v>-1309.094094</v>
      </c>
      <c r="G7" s="13">
        <v>-1309.032344</v>
      </c>
      <c r="H7" s="13">
        <v>-1308.7796820000001</v>
      </c>
      <c r="I7" s="13">
        <v>-1309.0362150000001</v>
      </c>
      <c r="J7" s="11"/>
      <c r="K7" s="9" t="s">
        <v>14</v>
      </c>
      <c r="L7" s="12">
        <f t="shared" si="1"/>
        <v>0.37962624139745149</v>
      </c>
      <c r="M7" s="12">
        <f t="shared" si="2"/>
        <v>0.17047942099958818</v>
      </c>
      <c r="N7" s="14"/>
      <c r="O7" s="12">
        <f t="shared" si="3"/>
        <v>7.0682427841950668</v>
      </c>
      <c r="P7" s="12">
        <f t="shared" si="4"/>
        <v>7.1511014971993259</v>
      </c>
      <c r="Q7" s="14"/>
      <c r="R7" s="12">
        <f t="shared" si="5"/>
        <v>1.487347912603505</v>
      </c>
      <c r="S7" s="12">
        <f t="shared" si="6"/>
        <v>1.300677708604578</v>
      </c>
    </row>
    <row r="8" spans="1:19" ht="15.75" x14ac:dyDescent="0.25">
      <c r="A8" s="2">
        <v>10</v>
      </c>
      <c r="B8" s="9" t="s">
        <v>22</v>
      </c>
      <c r="C8" s="10">
        <v>-1646.07557</v>
      </c>
      <c r="D8" s="13">
        <v>-1646.133214</v>
      </c>
      <c r="E8" s="13">
        <v>-1645.8076140000001</v>
      </c>
      <c r="F8" s="13">
        <v>-1646.1411949999999</v>
      </c>
      <c r="G8" s="13">
        <v>-1646.0672850000001</v>
      </c>
      <c r="H8" s="13">
        <v>-1645.8110260000001</v>
      </c>
      <c r="I8" s="13">
        <v>-1646.0719810000001</v>
      </c>
      <c r="J8" s="11"/>
      <c r="K8" s="9" t="s">
        <v>15</v>
      </c>
      <c r="L8" s="12">
        <f t="shared" si="1"/>
        <v>0.44262063239617844</v>
      </c>
      <c r="M8" s="12">
        <f t="shared" si="2"/>
        <v>0.19050701139852064</v>
      </c>
      <c r="N8" s="14"/>
      <c r="O8" s="12">
        <f t="shared" si="3"/>
        <v>7.1986126015969276</v>
      </c>
      <c r="P8" s="12">
        <f t="shared" si="4"/>
        <v>7.2914578983976277</v>
      </c>
      <c r="Q8" s="14"/>
      <c r="R8" s="12">
        <f t="shared" si="5"/>
        <v>1.7857481249987626</v>
      </c>
      <c r="S8" s="12">
        <f t="shared" si="6"/>
        <v>1.5685739415995115</v>
      </c>
    </row>
    <row r="9" spans="1:19" ht="15.75" x14ac:dyDescent="0.25">
      <c r="A9" s="2">
        <v>11</v>
      </c>
      <c r="B9" s="9" t="s">
        <v>23</v>
      </c>
      <c r="C9" s="10">
        <v>-1826.4907250000001</v>
      </c>
      <c r="D9" s="13">
        <v>-1826.537302</v>
      </c>
      <c r="E9" s="13">
        <v>-1826.2554</v>
      </c>
      <c r="F9" s="13">
        <v>-1826.546251</v>
      </c>
      <c r="G9" s="13">
        <v>-1826.4814679999999</v>
      </c>
      <c r="H9" s="13">
        <v>-1826.2570169999999</v>
      </c>
      <c r="I9" s="13">
        <v>-1826.489049</v>
      </c>
      <c r="J9" s="11"/>
      <c r="K9" s="9" t="s">
        <v>16</v>
      </c>
      <c r="L9" s="12">
        <f t="shared" si="1"/>
        <v>0.49541074840520077</v>
      </c>
      <c r="M9" s="12">
        <f t="shared" si="2"/>
        <v>8.9607140199594912E-2</v>
      </c>
      <c r="N9" s="14"/>
      <c r="O9" s="12">
        <f t="shared" si="3"/>
        <v>6.3595218712056081</v>
      </c>
      <c r="P9" s="12">
        <f t="shared" si="4"/>
        <v>6.4035227050027919</v>
      </c>
      <c r="Q9" s="14"/>
      <c r="R9" s="12">
        <f t="shared" si="5"/>
        <v>1.510940196396531</v>
      </c>
      <c r="S9" s="12">
        <f t="shared" si="6"/>
        <v>1.2674253777957247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</dc:creator>
  <cp:lastModifiedBy>ayhan</cp:lastModifiedBy>
  <dcterms:created xsi:type="dcterms:W3CDTF">2018-10-09T08:40:18Z</dcterms:created>
  <dcterms:modified xsi:type="dcterms:W3CDTF">2026-09-25T09:19:42Z</dcterms:modified>
</cp:coreProperties>
</file>